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g/Desktop/"/>
    </mc:Choice>
  </mc:AlternateContent>
  <xr:revisionPtr revIDLastSave="0" documentId="13_ncr:1_{F557D788-311E-7C40-B883-8496DFA51BE0}" xr6:coauthVersionLast="47" xr6:coauthVersionMax="47" xr10:uidLastSave="{00000000-0000-0000-0000-000000000000}"/>
  <bookViews>
    <workbookView xWindow="0" yWindow="660" windowWidth="18280" windowHeight="16660" activeTab="3" xr2:uid="{00000000-000D-0000-FFFF-FFFF00000000}"/>
  </bookViews>
  <sheets>
    <sheet name="White (Front 9)" sheetId="1" r:id="rId1"/>
    <sheet name="Blue (Back 9)" sheetId="2" r:id="rId2"/>
    <sheet name="Sheet1" sheetId="4" r:id="rId3"/>
    <sheet name="18 Hole Summary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4" l="1" a="1"/>
  <c r="D1" i="4" s="1"/>
  <c r="B2" i="4"/>
  <c r="C2" i="4"/>
  <c r="B3" i="4"/>
  <c r="C3" i="4"/>
  <c r="B4" i="4"/>
  <c r="C4" i="4"/>
  <c r="B5" i="4"/>
  <c r="C5" i="4"/>
  <c r="B6" i="4"/>
  <c r="C6" i="4"/>
  <c r="B7" i="4"/>
  <c r="C7" i="4"/>
  <c r="B8" i="4"/>
  <c r="C8" i="4"/>
  <c r="B9" i="4"/>
  <c r="C9" i="4"/>
  <c r="B10" i="4"/>
  <c r="C10" i="4"/>
  <c r="B11" i="4"/>
  <c r="C11" i="4"/>
  <c r="B12" i="4"/>
  <c r="C12" i="4"/>
  <c r="B13" i="4"/>
  <c r="C13" i="4"/>
  <c r="B14" i="4"/>
  <c r="C14" i="4"/>
  <c r="B15" i="4"/>
  <c r="C15" i="4"/>
  <c r="B16" i="4"/>
  <c r="C16" i="4"/>
  <c r="B17" i="4"/>
  <c r="C17" i="4"/>
  <c r="B18" i="4"/>
  <c r="C18" i="4"/>
  <c r="B19" i="4"/>
  <c r="C19" i="4"/>
  <c r="B20" i="4"/>
  <c r="C20" i="4"/>
  <c r="B21" i="4"/>
  <c r="C21" i="4"/>
  <c r="B22" i="4"/>
  <c r="C22" i="4"/>
  <c r="B23" i="4"/>
  <c r="C23" i="4"/>
  <c r="B24" i="4"/>
  <c r="C24" i="4"/>
  <c r="B25" i="4"/>
  <c r="C25" i="4"/>
  <c r="B26" i="4"/>
  <c r="C26" i="4"/>
  <c r="B27" i="4"/>
  <c r="C27" i="4"/>
  <c r="B28" i="4"/>
  <c r="C28" i="4"/>
  <c r="B29" i="4"/>
  <c r="C29" i="4"/>
  <c r="B30" i="4"/>
  <c r="C30" i="4"/>
  <c r="B31" i="4"/>
  <c r="C31" i="4"/>
  <c r="B32" i="4"/>
  <c r="C32" i="4"/>
  <c r="B33" i="4"/>
  <c r="C33" i="4"/>
  <c r="B34" i="4"/>
  <c r="C34" i="4"/>
  <c r="B35" i="4"/>
  <c r="C35" i="4"/>
  <c r="B36" i="4"/>
  <c r="C36" i="4"/>
  <c r="B37" i="4"/>
  <c r="C37" i="4"/>
  <c r="B38" i="4"/>
  <c r="C38" i="4"/>
  <c r="B39" i="4"/>
  <c r="C39" i="4"/>
  <c r="B40" i="4"/>
  <c r="C40" i="4"/>
  <c r="B41" i="4"/>
  <c r="C41" i="4"/>
  <c r="B42" i="4"/>
  <c r="C42" i="4"/>
  <c r="B43" i="4"/>
  <c r="C43" i="4"/>
  <c r="B44" i="4"/>
  <c r="C44" i="4"/>
  <c r="B45" i="4"/>
  <c r="C45" i="4"/>
  <c r="B46" i="4"/>
  <c r="C46" i="4"/>
  <c r="B47" i="4"/>
  <c r="C47" i="4"/>
  <c r="B48" i="4"/>
  <c r="C48" i="4"/>
  <c r="B49" i="4"/>
  <c r="C49" i="4"/>
  <c r="B50" i="4"/>
  <c r="C50" i="4"/>
  <c r="B51" i="4"/>
  <c r="C51" i="4"/>
  <c r="B52" i="4"/>
  <c r="C52" i="4"/>
  <c r="B53" i="4"/>
  <c r="C53" i="4"/>
  <c r="B54" i="4"/>
  <c r="C54" i="4"/>
  <c r="B55" i="4"/>
  <c r="C55" i="4"/>
  <c r="B56" i="4"/>
  <c r="C56" i="4"/>
  <c r="B57" i="4"/>
  <c r="C57" i="4"/>
  <c r="B58" i="4"/>
  <c r="C58" i="4"/>
  <c r="B59" i="4"/>
  <c r="C59" i="4"/>
  <c r="B60" i="4"/>
  <c r="C60" i="4"/>
  <c r="B61" i="4"/>
  <c r="C61" i="4"/>
  <c r="B62" i="4"/>
  <c r="C62" i="4"/>
  <c r="B63" i="4"/>
  <c r="C63" i="4"/>
  <c r="B64" i="4"/>
  <c r="C64" i="4"/>
  <c r="B65" i="4"/>
  <c r="C65" i="4"/>
  <c r="B66" i="4"/>
  <c r="C66" i="4"/>
  <c r="B67" i="4"/>
  <c r="C67" i="4"/>
  <c r="B68" i="4"/>
  <c r="C68" i="4"/>
  <c r="B69" i="4"/>
  <c r="C69" i="4"/>
  <c r="B70" i="4"/>
  <c r="C70" i="4"/>
  <c r="B71" i="4"/>
  <c r="C71" i="4"/>
  <c r="B72" i="4"/>
  <c r="C72" i="4"/>
  <c r="C1" i="4"/>
  <c r="B1" i="4"/>
  <c r="M5" i="2"/>
  <c r="E5" i="3" s="1"/>
  <c r="L5" i="2"/>
  <c r="D5" i="3" s="1"/>
  <c r="M4" i="2"/>
  <c r="E4" i="3" s="1"/>
  <c r="L4" i="2"/>
  <c r="D4" i="3" s="1"/>
  <c r="M3" i="2"/>
  <c r="E3" i="3" s="1"/>
  <c r="L3" i="2"/>
  <c r="D3" i="3" s="1"/>
  <c r="M2" i="2"/>
  <c r="E2" i="3" s="1"/>
  <c r="L2" i="2"/>
  <c r="D2" i="3" s="1"/>
  <c r="M5" i="1"/>
  <c r="C5" i="3" s="1"/>
  <c r="G5" i="3" s="1"/>
  <c r="L5" i="1"/>
  <c r="B5" i="3" s="1"/>
  <c r="F5" i="3" s="1"/>
  <c r="M4" i="1"/>
  <c r="C4" i="3" s="1"/>
  <c r="L4" i="1"/>
  <c r="B4" i="3" s="1"/>
  <c r="M3" i="1"/>
  <c r="C3" i="3" s="1"/>
  <c r="G3" i="3" s="1"/>
  <c r="L3" i="1"/>
  <c r="B3" i="3" s="1"/>
  <c r="M2" i="1"/>
  <c r="C2" i="3" s="1"/>
  <c r="L2" i="1"/>
  <c r="B2" i="3" s="1"/>
  <c r="G2" i="3" l="1"/>
  <c r="F2" i="3"/>
  <c r="F3" i="3"/>
  <c r="G4" i="3"/>
  <c r="F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<sst xmlns="http://schemas.openxmlformats.org/spreadsheetml/2006/main" count="334" uniqueCount="49">
  <si>
    <t>Player</t>
  </si>
  <si>
    <t>Hole 1</t>
  </si>
  <si>
    <t>Hole 2</t>
  </si>
  <si>
    <t>Hole 3</t>
  </si>
  <si>
    <t>Hole 4</t>
  </si>
  <si>
    <t>Hole 5</t>
  </si>
  <si>
    <t>Hole 6</t>
  </si>
  <si>
    <t>Hole 7</t>
  </si>
  <si>
    <t>Hole 8</t>
  </si>
  <si>
    <t>Hole 9</t>
  </si>
  <si>
    <t>Total Strokes</t>
  </si>
  <si>
    <t>Total Putts</t>
  </si>
  <si>
    <t>Divo</t>
  </si>
  <si>
    <t>5/2</t>
  </si>
  <si>
    <t>4/2</t>
  </si>
  <si>
    <t>3/1</t>
  </si>
  <si>
    <t>4/1</t>
  </si>
  <si>
    <t>ICE 25</t>
  </si>
  <si>
    <t>6/2</t>
  </si>
  <si>
    <t>7/3</t>
  </si>
  <si>
    <t>6/3</t>
  </si>
  <si>
    <t>8/2</t>
  </si>
  <si>
    <t>7/2</t>
  </si>
  <si>
    <t>5/1</t>
  </si>
  <si>
    <t>JCD6</t>
  </si>
  <si>
    <t>3/2</t>
  </si>
  <si>
    <t>6/1</t>
  </si>
  <si>
    <t>Jorge 21</t>
  </si>
  <si>
    <t>5/3</t>
  </si>
  <si>
    <t>4/3</t>
  </si>
  <si>
    <t>5/4</t>
  </si>
  <si>
    <t>Front Strokes</t>
  </si>
  <si>
    <t>Front Putts</t>
  </si>
  <si>
    <t>Back Strokes</t>
  </si>
  <si>
    <t>Back Putts</t>
  </si>
  <si>
    <t>Handicap</t>
  </si>
  <si>
    <t>JCE</t>
  </si>
  <si>
    <t>JCD</t>
  </si>
  <si>
    <t>Jorge</t>
  </si>
  <si>
    <t xml:space="preserve">JCE </t>
  </si>
  <si>
    <t>St Royal Cloud</t>
  </si>
  <si>
    <t>5</t>
  </si>
  <si>
    <t>2</t>
  </si>
  <si>
    <t>6</t>
  </si>
  <si>
    <t>1</t>
  </si>
  <si>
    <t>7</t>
  </si>
  <si>
    <t>3</t>
  </si>
  <si>
    <t>4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</si>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</sst>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workbookViewId="0">
      <selection activeCell="K22" sqref="K22"/>
    </sheetView>
  </sheetViews>
  <sheetFormatPr baseColWidth="10" defaultColWidth="8.83203125" defaultRowHeight="15" x14ac:dyDescent="0.2"/>
  <cols>
    <col min="12" max="12" width="11.6640625" customWidth="1"/>
  </cols>
  <sheetData>
    <row r="1" spans="1:13" x14ac:dyDescent="0.2">
      <c r="A1" t="s">
        <v>0</v>
      </c>
      <c r="B1" t="s">
        <v>35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 t="s">
        <v>12</v>
      </c>
      <c r="B2">
        <v>11</v>
      </c>
      <c r="C2" t="s">
        <v>13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I2" t="s">
        <v>14</v>
      </c>
      <c r="J2" t="s">
        <v>16</v>
      </c>
      <c r="K2" t="s">
        <v>13</v>
      </c>
      <c r="L2">
        <f>SUMPRODUCT(--LEFT(C2:K2,FIND("/",C2:K2)-1))</f>
        <v>38</v>
      </c>
      <c r="M2">
        <f>SUMPRODUCT(--MID(C2:K2,FIND("/",C2:K2)+1,2))</f>
        <v>15</v>
      </c>
    </row>
    <row r="3" spans="1:13" x14ac:dyDescent="0.2">
      <c r="A3" t="s">
        <v>36</v>
      </c>
      <c r="B3">
        <v>25</v>
      </c>
      <c r="C3" t="s">
        <v>18</v>
      </c>
      <c r="D3" t="s">
        <v>19</v>
      </c>
      <c r="E3" t="s">
        <v>18</v>
      </c>
      <c r="F3" t="s">
        <v>20</v>
      </c>
      <c r="G3" t="s">
        <v>13</v>
      </c>
      <c r="H3" t="s">
        <v>20</v>
      </c>
      <c r="I3" t="s">
        <v>21</v>
      </c>
      <c r="J3" t="s">
        <v>22</v>
      </c>
      <c r="K3" t="s">
        <v>23</v>
      </c>
      <c r="L3">
        <f>SUMPRODUCT(--LEFT(C3:K3,FIND("/",C3:K3)-1))</f>
        <v>56</v>
      </c>
      <c r="M3">
        <f>SUMPRODUCT(--MID(C3:K3,FIND("/",C3:K3)+1,2))</f>
        <v>20</v>
      </c>
    </row>
    <row r="4" spans="1:13" x14ac:dyDescent="0.2">
      <c r="A4" t="s">
        <v>37</v>
      </c>
      <c r="B4">
        <v>6</v>
      </c>
      <c r="C4" t="s">
        <v>23</v>
      </c>
      <c r="D4" t="s">
        <v>16</v>
      </c>
      <c r="E4" t="s">
        <v>25</v>
      </c>
      <c r="F4" t="s">
        <v>23</v>
      </c>
      <c r="G4" t="s">
        <v>16</v>
      </c>
      <c r="H4" t="s">
        <v>14</v>
      </c>
      <c r="I4" t="s">
        <v>15</v>
      </c>
      <c r="J4" t="s">
        <v>15</v>
      </c>
      <c r="K4" t="s">
        <v>26</v>
      </c>
      <c r="L4">
        <f>SUMPRODUCT(--LEFT(C4:K4,FIND("/",C4:K4)-1))</f>
        <v>37</v>
      </c>
      <c r="M4">
        <f>SUMPRODUCT(--MID(C4:K4,FIND("/",C4:K4)+1,2))</f>
        <v>11</v>
      </c>
    </row>
    <row r="5" spans="1:13" x14ac:dyDescent="0.2">
      <c r="A5" t="s">
        <v>38</v>
      </c>
      <c r="B5">
        <v>21</v>
      </c>
      <c r="C5" t="s">
        <v>22</v>
      </c>
      <c r="D5" t="s">
        <v>13</v>
      </c>
      <c r="E5" t="s">
        <v>14</v>
      </c>
      <c r="F5" t="s">
        <v>28</v>
      </c>
      <c r="G5" t="s">
        <v>20</v>
      </c>
      <c r="H5" t="s">
        <v>25</v>
      </c>
      <c r="I5" t="s">
        <v>23</v>
      </c>
      <c r="J5" t="s">
        <v>18</v>
      </c>
      <c r="K5" t="s">
        <v>26</v>
      </c>
      <c r="L5">
        <f>SUMPRODUCT(--LEFT(C5:K5,FIND("/",C5:K5)-1))</f>
        <v>47</v>
      </c>
      <c r="M5">
        <f>SUMPRODUCT(--MID(C5:K5,FIND("/",C5:K5)+1,2))</f>
        <v>18</v>
      </c>
    </row>
    <row r="17" spans="9:10" x14ac:dyDescent="0.2">
      <c r="I17">
        <v>5</v>
      </c>
      <c r="J17">
        <v>2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6"/>
  <sheetViews>
    <sheetView workbookViewId="0">
      <selection activeCell="O30" sqref="O30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35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 t="s">
        <v>12</v>
      </c>
      <c r="B2">
        <v>11</v>
      </c>
      <c r="C2" t="s">
        <v>14</v>
      </c>
      <c r="D2" t="s">
        <v>18</v>
      </c>
      <c r="E2" t="s">
        <v>15</v>
      </c>
      <c r="F2" t="s">
        <v>22</v>
      </c>
      <c r="G2" t="s">
        <v>14</v>
      </c>
      <c r="H2" t="s">
        <v>13</v>
      </c>
      <c r="I2" t="s">
        <v>22</v>
      </c>
      <c r="J2" t="s">
        <v>28</v>
      </c>
      <c r="K2" t="s">
        <v>16</v>
      </c>
      <c r="L2">
        <f>SUMPRODUCT(--LEFT(C2:K2,FIND("/",C2:K2)-1))</f>
        <v>45</v>
      </c>
      <c r="M2">
        <f>SUMPRODUCT(--MID(C2:K2,FIND("/",C2:K2)+1,2))</f>
        <v>17</v>
      </c>
    </row>
    <row r="3" spans="1:13" x14ac:dyDescent="0.2">
      <c r="A3" t="s">
        <v>39</v>
      </c>
      <c r="B3">
        <v>25</v>
      </c>
      <c r="C3" t="s">
        <v>14</v>
      </c>
      <c r="D3" t="s">
        <v>13</v>
      </c>
      <c r="E3" t="s">
        <v>25</v>
      </c>
      <c r="F3" t="s">
        <v>19</v>
      </c>
      <c r="G3" t="s">
        <v>18</v>
      </c>
      <c r="H3" t="s">
        <v>26</v>
      </c>
      <c r="I3" t="s">
        <v>18</v>
      </c>
      <c r="J3" t="s">
        <v>29</v>
      </c>
      <c r="K3" t="s">
        <v>18</v>
      </c>
      <c r="L3">
        <f>SUMPRODUCT(--LEFT(C3:K3,FIND("/",C3:K3)-1))</f>
        <v>47</v>
      </c>
      <c r="M3">
        <f>SUMPRODUCT(--MID(C3:K3,FIND("/",C3:K3)+1,2))</f>
        <v>19</v>
      </c>
    </row>
    <row r="4" spans="1:13" x14ac:dyDescent="0.2">
      <c r="A4" t="s">
        <v>37</v>
      </c>
      <c r="B4">
        <v>6</v>
      </c>
      <c r="C4" t="s">
        <v>15</v>
      </c>
      <c r="D4" t="s">
        <v>13</v>
      </c>
      <c r="E4" t="s">
        <v>16</v>
      </c>
      <c r="F4" t="s">
        <v>13</v>
      </c>
      <c r="G4" t="s">
        <v>14</v>
      </c>
      <c r="H4" t="s">
        <v>26</v>
      </c>
      <c r="I4" t="s">
        <v>18</v>
      </c>
      <c r="J4" t="s">
        <v>29</v>
      </c>
      <c r="K4" t="s">
        <v>13</v>
      </c>
      <c r="L4">
        <f>SUMPRODUCT(--LEFT(C4:K4,FIND("/",C4:K4)-1))</f>
        <v>42</v>
      </c>
      <c r="M4">
        <f>SUMPRODUCT(--MID(C4:K4,FIND("/",C4:K4)+1,2))</f>
        <v>16</v>
      </c>
    </row>
    <row r="5" spans="1:13" x14ac:dyDescent="0.2">
      <c r="A5" t="s">
        <v>38</v>
      </c>
      <c r="B5">
        <v>21</v>
      </c>
      <c r="C5" t="s">
        <v>13</v>
      </c>
      <c r="D5" t="s">
        <v>19</v>
      </c>
      <c r="E5" t="s">
        <v>28</v>
      </c>
      <c r="F5" t="s">
        <v>23</v>
      </c>
      <c r="G5" t="s">
        <v>13</v>
      </c>
      <c r="H5" t="s">
        <v>23</v>
      </c>
      <c r="I5" t="s">
        <v>23</v>
      </c>
      <c r="J5" t="s">
        <v>30</v>
      </c>
      <c r="K5" t="s">
        <v>13</v>
      </c>
      <c r="L5">
        <f>SUMPRODUCT(--LEFT(C5:K5,FIND("/",C5:K5)-1))</f>
        <v>47</v>
      </c>
      <c r="M5">
        <f>SUMPRODUCT(--MID(C5:K5,FIND("/",C5:K5)+1,2))</f>
        <v>19</v>
      </c>
    </row>
    <row r="26" spans="4:4" x14ac:dyDescent="0.2">
      <c r="D26">
        <v>42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20216-5844-1343-916E-9D9A07E7238C}">
  <dimension ref="A1:F144"/>
  <sheetViews>
    <sheetView topLeftCell="B1" workbookViewId="0">
      <selection activeCell="F1" sqref="F1:F144"/>
    </sheetView>
  </sheetViews>
  <sheetFormatPr baseColWidth="10" defaultRowHeight="15" x14ac:dyDescent="0.2"/>
  <sheetData>
    <row r="1" spans="1:6" x14ac:dyDescent="0.2">
      <c r="A1" s="2" t="s">
        <v>13</v>
      </c>
      <c r="B1" t="str">
        <f>LEFT(A1,1)</f>
        <v>5</v>
      </c>
      <c r="C1" t="str">
        <f>RIGHT(A1,1)</f>
        <v>2</v>
      </c>
      <c r="D1" t="str" cm="1">
        <f t="array" ref="D1:D144">_xlfn.TOCOL(B1:C72)</f>
        <v>5</v>
      </c>
      <c r="F1" t="s">
        <v>41</v>
      </c>
    </row>
    <row r="2" spans="1:6" x14ac:dyDescent="0.2">
      <c r="A2" s="2" t="s">
        <v>18</v>
      </c>
      <c r="B2" t="str">
        <f t="shared" ref="B2:B65" si="0">LEFT(A2,1)</f>
        <v>6</v>
      </c>
      <c r="C2" t="str">
        <f t="shared" ref="C2:C65" si="1">RIGHT(A2,1)</f>
        <v>2</v>
      </c>
      <c r="D2" t="str">
        <v>2</v>
      </c>
      <c r="F2" t="s">
        <v>42</v>
      </c>
    </row>
    <row r="3" spans="1:6" x14ac:dyDescent="0.2">
      <c r="A3" s="2" t="s">
        <v>23</v>
      </c>
      <c r="B3" t="str">
        <f t="shared" si="0"/>
        <v>5</v>
      </c>
      <c r="C3" t="str">
        <f t="shared" si="1"/>
        <v>1</v>
      </c>
      <c r="D3" t="str">
        <v>6</v>
      </c>
      <c r="F3" t="s">
        <v>43</v>
      </c>
    </row>
    <row r="4" spans="1:6" x14ac:dyDescent="0.2">
      <c r="A4" s="2" t="s">
        <v>22</v>
      </c>
      <c r="B4" t="str">
        <f t="shared" si="0"/>
        <v>7</v>
      </c>
      <c r="C4" t="str">
        <f t="shared" si="1"/>
        <v>2</v>
      </c>
      <c r="D4" t="str">
        <v>2</v>
      </c>
      <c r="F4" t="s">
        <v>42</v>
      </c>
    </row>
    <row r="5" spans="1:6" x14ac:dyDescent="0.2">
      <c r="A5" s="2" t="s">
        <v>13</v>
      </c>
      <c r="B5" t="str">
        <f t="shared" si="0"/>
        <v>5</v>
      </c>
      <c r="C5" t="str">
        <f t="shared" si="1"/>
        <v>2</v>
      </c>
      <c r="D5" t="str">
        <v>5</v>
      </c>
      <c r="F5" t="s">
        <v>41</v>
      </c>
    </row>
    <row r="6" spans="1:6" x14ac:dyDescent="0.2">
      <c r="A6" s="2" t="s">
        <v>19</v>
      </c>
      <c r="B6" t="str">
        <f t="shared" si="0"/>
        <v>7</v>
      </c>
      <c r="C6" t="str">
        <f t="shared" si="1"/>
        <v>3</v>
      </c>
      <c r="D6" t="str">
        <v>1</v>
      </c>
      <c r="F6" t="s">
        <v>44</v>
      </c>
    </row>
    <row r="7" spans="1:6" x14ac:dyDescent="0.2">
      <c r="A7" s="2" t="s">
        <v>16</v>
      </c>
      <c r="B7" t="str">
        <f t="shared" si="0"/>
        <v>4</v>
      </c>
      <c r="C7" t="str">
        <f t="shared" si="1"/>
        <v>1</v>
      </c>
      <c r="D7" t="str">
        <v>7</v>
      </c>
      <c r="F7" t="s">
        <v>45</v>
      </c>
    </row>
    <row r="8" spans="1:6" x14ac:dyDescent="0.2">
      <c r="A8" s="2" t="s">
        <v>13</v>
      </c>
      <c r="B8" t="str">
        <f t="shared" si="0"/>
        <v>5</v>
      </c>
      <c r="C8" t="str">
        <f t="shared" si="1"/>
        <v>2</v>
      </c>
      <c r="D8" t="str">
        <v>2</v>
      </c>
      <c r="F8" t="s">
        <v>42</v>
      </c>
    </row>
    <row r="9" spans="1:6" x14ac:dyDescent="0.2">
      <c r="A9" s="2" t="s">
        <v>14</v>
      </c>
      <c r="B9" t="str">
        <f t="shared" si="0"/>
        <v>4</v>
      </c>
      <c r="C9" t="str">
        <f t="shared" si="1"/>
        <v>2</v>
      </c>
      <c r="D9" t="str">
        <v>5</v>
      </c>
      <c r="F9" t="s">
        <v>41</v>
      </c>
    </row>
    <row r="10" spans="1:6" x14ac:dyDescent="0.2">
      <c r="A10" s="2" t="s">
        <v>18</v>
      </c>
      <c r="B10" t="str">
        <f t="shared" si="0"/>
        <v>6</v>
      </c>
      <c r="C10" t="str">
        <f t="shared" si="1"/>
        <v>2</v>
      </c>
      <c r="D10" t="str">
        <v>2</v>
      </c>
      <c r="F10" t="s">
        <v>42</v>
      </c>
    </row>
    <row r="11" spans="1:6" x14ac:dyDescent="0.2">
      <c r="A11" s="2" t="s">
        <v>25</v>
      </c>
      <c r="B11" t="str">
        <f t="shared" si="0"/>
        <v>3</v>
      </c>
      <c r="C11" t="str">
        <f t="shared" si="1"/>
        <v>2</v>
      </c>
      <c r="D11" t="str">
        <v>7</v>
      </c>
      <c r="F11" t="s">
        <v>45</v>
      </c>
    </row>
    <row r="12" spans="1:6" x14ac:dyDescent="0.2">
      <c r="A12" s="2" t="s">
        <v>14</v>
      </c>
      <c r="B12" t="str">
        <f t="shared" si="0"/>
        <v>4</v>
      </c>
      <c r="C12" t="str">
        <f t="shared" si="1"/>
        <v>2</v>
      </c>
      <c r="D12" t="str">
        <v>3</v>
      </c>
      <c r="F12" t="s">
        <v>46</v>
      </c>
    </row>
    <row r="13" spans="1:6" x14ac:dyDescent="0.2">
      <c r="A13" s="2" t="s">
        <v>15</v>
      </c>
      <c r="B13" t="str">
        <f t="shared" si="0"/>
        <v>3</v>
      </c>
      <c r="C13" t="str">
        <f t="shared" si="1"/>
        <v>1</v>
      </c>
      <c r="D13" t="str">
        <v>4</v>
      </c>
      <c r="F13" t="s">
        <v>47</v>
      </c>
    </row>
    <row r="14" spans="1:6" x14ac:dyDescent="0.2">
      <c r="A14" s="2" t="s">
        <v>20</v>
      </c>
      <c r="B14" t="str">
        <f t="shared" si="0"/>
        <v>6</v>
      </c>
      <c r="C14" t="str">
        <f t="shared" si="1"/>
        <v>3</v>
      </c>
      <c r="D14" t="str">
        <v>1</v>
      </c>
      <c r="F14" t="s">
        <v>44</v>
      </c>
    </row>
    <row r="15" spans="1:6" x14ac:dyDescent="0.2">
      <c r="A15" s="2" t="s">
        <v>23</v>
      </c>
      <c r="B15" t="str">
        <f t="shared" si="0"/>
        <v>5</v>
      </c>
      <c r="C15" t="str">
        <f t="shared" si="1"/>
        <v>1</v>
      </c>
      <c r="D15" t="str">
        <v>5</v>
      </c>
      <c r="F15" t="s">
        <v>41</v>
      </c>
    </row>
    <row r="16" spans="1:6" x14ac:dyDescent="0.2">
      <c r="A16" s="2" t="s">
        <v>28</v>
      </c>
      <c r="B16" t="str">
        <f t="shared" si="0"/>
        <v>5</v>
      </c>
      <c r="C16" t="str">
        <f t="shared" si="1"/>
        <v>3</v>
      </c>
      <c r="D16" t="str">
        <v>2</v>
      </c>
      <c r="F16" t="s">
        <v>42</v>
      </c>
    </row>
    <row r="17" spans="1:6" x14ac:dyDescent="0.2">
      <c r="A17" s="2" t="s">
        <v>16</v>
      </c>
      <c r="B17" t="str">
        <f t="shared" si="0"/>
        <v>4</v>
      </c>
      <c r="C17" t="str">
        <f t="shared" si="1"/>
        <v>1</v>
      </c>
      <c r="D17" t="str">
        <v>4</v>
      </c>
      <c r="F17" t="s">
        <v>47</v>
      </c>
    </row>
    <row r="18" spans="1:6" x14ac:dyDescent="0.2">
      <c r="A18" s="2" t="s">
        <v>13</v>
      </c>
      <c r="B18" t="str">
        <f t="shared" si="0"/>
        <v>5</v>
      </c>
      <c r="C18" t="str">
        <f t="shared" si="1"/>
        <v>2</v>
      </c>
      <c r="D18" t="str">
        <v>2</v>
      </c>
      <c r="F18" t="s">
        <v>42</v>
      </c>
    </row>
    <row r="19" spans="1:6" x14ac:dyDescent="0.2">
      <c r="A19" s="2" t="s">
        <v>16</v>
      </c>
      <c r="B19" t="str">
        <f t="shared" si="0"/>
        <v>4</v>
      </c>
      <c r="C19" t="str">
        <f t="shared" si="1"/>
        <v>1</v>
      </c>
      <c r="D19" t="str">
        <v>6</v>
      </c>
      <c r="F19" t="s">
        <v>43</v>
      </c>
    </row>
    <row r="20" spans="1:6" x14ac:dyDescent="0.2">
      <c r="A20" s="2" t="s">
        <v>20</v>
      </c>
      <c r="B20" t="str">
        <f t="shared" si="0"/>
        <v>6</v>
      </c>
      <c r="C20" t="str">
        <f t="shared" si="1"/>
        <v>3</v>
      </c>
      <c r="D20" t="str">
        <v>2</v>
      </c>
      <c r="F20" t="s">
        <v>42</v>
      </c>
    </row>
    <row r="21" spans="1:6" x14ac:dyDescent="0.2">
      <c r="A21" s="2" t="s">
        <v>14</v>
      </c>
      <c r="B21" t="str">
        <f t="shared" si="0"/>
        <v>4</v>
      </c>
      <c r="C21" t="str">
        <f t="shared" si="1"/>
        <v>2</v>
      </c>
      <c r="D21" t="str">
        <v>3</v>
      </c>
      <c r="F21" t="s">
        <v>46</v>
      </c>
    </row>
    <row r="22" spans="1:6" x14ac:dyDescent="0.2">
      <c r="A22" s="2" t="s">
        <v>20</v>
      </c>
      <c r="B22" t="str">
        <f t="shared" si="0"/>
        <v>6</v>
      </c>
      <c r="C22" t="str">
        <f t="shared" si="1"/>
        <v>3</v>
      </c>
      <c r="D22" t="str">
        <v>2</v>
      </c>
      <c r="F22" t="s">
        <v>42</v>
      </c>
    </row>
    <row r="23" spans="1:6" x14ac:dyDescent="0.2">
      <c r="A23" s="2" t="s">
        <v>14</v>
      </c>
      <c r="B23" t="str">
        <f t="shared" si="0"/>
        <v>4</v>
      </c>
      <c r="C23" t="str">
        <f t="shared" si="1"/>
        <v>2</v>
      </c>
      <c r="D23" t="str">
        <v>4</v>
      </c>
      <c r="F23" t="s">
        <v>47</v>
      </c>
    </row>
    <row r="24" spans="1:6" x14ac:dyDescent="0.2">
      <c r="A24" s="2" t="s">
        <v>25</v>
      </c>
      <c r="B24" t="str">
        <f t="shared" si="0"/>
        <v>3</v>
      </c>
      <c r="C24" t="str">
        <f t="shared" si="1"/>
        <v>2</v>
      </c>
      <c r="D24" t="str">
        <v>2</v>
      </c>
      <c r="F24" t="s">
        <v>42</v>
      </c>
    </row>
    <row r="25" spans="1:6" x14ac:dyDescent="0.2">
      <c r="A25" s="2" t="s">
        <v>14</v>
      </c>
      <c r="B25" t="str">
        <f t="shared" si="0"/>
        <v>4</v>
      </c>
      <c r="C25" t="str">
        <f t="shared" si="1"/>
        <v>2</v>
      </c>
      <c r="D25" t="str">
        <v>3</v>
      </c>
      <c r="F25" t="s">
        <v>46</v>
      </c>
    </row>
    <row r="26" spans="1:6" x14ac:dyDescent="0.2">
      <c r="A26" s="2" t="s">
        <v>21</v>
      </c>
      <c r="B26" t="str">
        <f t="shared" si="0"/>
        <v>8</v>
      </c>
      <c r="C26" t="str">
        <f t="shared" si="1"/>
        <v>2</v>
      </c>
      <c r="D26" t="str">
        <v>1</v>
      </c>
      <c r="F26" t="s">
        <v>44</v>
      </c>
    </row>
    <row r="27" spans="1:6" x14ac:dyDescent="0.2">
      <c r="A27" s="2" t="s">
        <v>15</v>
      </c>
      <c r="B27" t="str">
        <f t="shared" si="0"/>
        <v>3</v>
      </c>
      <c r="C27" t="str">
        <f t="shared" si="1"/>
        <v>1</v>
      </c>
      <c r="D27" t="str">
        <v>6</v>
      </c>
      <c r="F27" t="s">
        <v>43</v>
      </c>
    </row>
    <row r="28" spans="1:6" x14ac:dyDescent="0.2">
      <c r="A28" s="2" t="s">
        <v>23</v>
      </c>
      <c r="B28" t="str">
        <f t="shared" si="0"/>
        <v>5</v>
      </c>
      <c r="C28" t="str">
        <f t="shared" si="1"/>
        <v>1</v>
      </c>
      <c r="D28" t="str">
        <v>3</v>
      </c>
      <c r="F28" t="s">
        <v>46</v>
      </c>
    </row>
    <row r="29" spans="1:6" x14ac:dyDescent="0.2">
      <c r="A29" s="2" t="s">
        <v>16</v>
      </c>
      <c r="B29" t="str">
        <f t="shared" si="0"/>
        <v>4</v>
      </c>
      <c r="C29" t="str">
        <f t="shared" si="1"/>
        <v>1</v>
      </c>
      <c r="D29" t="str">
        <v>5</v>
      </c>
      <c r="F29" t="s">
        <v>41</v>
      </c>
    </row>
    <row r="30" spans="1:6" x14ac:dyDescent="0.2">
      <c r="A30" s="2" t="s">
        <v>22</v>
      </c>
      <c r="B30" t="str">
        <f t="shared" si="0"/>
        <v>7</v>
      </c>
      <c r="C30" t="str">
        <f t="shared" si="1"/>
        <v>2</v>
      </c>
      <c r="D30" t="str">
        <v>1</v>
      </c>
      <c r="F30" t="s">
        <v>44</v>
      </c>
    </row>
    <row r="31" spans="1:6" x14ac:dyDescent="0.2">
      <c r="A31" s="2" t="s">
        <v>15</v>
      </c>
      <c r="B31" t="str">
        <f t="shared" si="0"/>
        <v>3</v>
      </c>
      <c r="C31" t="str">
        <f t="shared" si="1"/>
        <v>1</v>
      </c>
      <c r="D31" t="str">
        <v>5</v>
      </c>
      <c r="F31" t="s">
        <v>41</v>
      </c>
    </row>
    <row r="32" spans="1:6" x14ac:dyDescent="0.2">
      <c r="A32" s="2" t="s">
        <v>18</v>
      </c>
      <c r="B32" t="str">
        <f t="shared" si="0"/>
        <v>6</v>
      </c>
      <c r="C32" t="str">
        <f t="shared" si="1"/>
        <v>2</v>
      </c>
      <c r="D32" t="str">
        <v>3</v>
      </c>
      <c r="F32" t="s">
        <v>46</v>
      </c>
    </row>
    <row r="33" spans="1:6" x14ac:dyDescent="0.2">
      <c r="A33" s="2" t="s">
        <v>13</v>
      </c>
      <c r="B33" t="str">
        <f t="shared" si="0"/>
        <v>5</v>
      </c>
      <c r="C33" t="str">
        <f t="shared" si="1"/>
        <v>2</v>
      </c>
      <c r="D33" t="str">
        <v>4</v>
      </c>
      <c r="F33" t="s">
        <v>47</v>
      </c>
    </row>
    <row r="34" spans="1:6" x14ac:dyDescent="0.2">
      <c r="A34" s="2" t="s">
        <v>23</v>
      </c>
      <c r="B34" t="str">
        <f t="shared" si="0"/>
        <v>5</v>
      </c>
      <c r="C34" t="str">
        <f t="shared" si="1"/>
        <v>1</v>
      </c>
      <c r="D34" t="str">
        <v>1</v>
      </c>
      <c r="F34" t="s">
        <v>44</v>
      </c>
    </row>
    <row r="35" spans="1:6" x14ac:dyDescent="0.2">
      <c r="A35" s="2" t="s">
        <v>26</v>
      </c>
      <c r="B35" t="str">
        <f t="shared" si="0"/>
        <v>6</v>
      </c>
      <c r="C35" t="str">
        <f t="shared" si="1"/>
        <v>1</v>
      </c>
      <c r="D35" t="str">
        <v>5</v>
      </c>
      <c r="F35" t="s">
        <v>41</v>
      </c>
    </row>
    <row r="36" spans="1:6" x14ac:dyDescent="0.2">
      <c r="A36" s="2" t="s">
        <v>26</v>
      </c>
      <c r="B36" t="str">
        <f t="shared" si="0"/>
        <v>6</v>
      </c>
      <c r="C36" t="str">
        <f t="shared" si="1"/>
        <v>1</v>
      </c>
      <c r="D36" t="str">
        <v>2</v>
      </c>
      <c r="F36" t="s">
        <v>42</v>
      </c>
    </row>
    <row r="37" spans="1:6" x14ac:dyDescent="0.2">
      <c r="A37" s="2" t="s">
        <v>14</v>
      </c>
      <c r="B37" t="str">
        <f t="shared" si="0"/>
        <v>4</v>
      </c>
      <c r="C37" t="str">
        <f t="shared" si="1"/>
        <v>2</v>
      </c>
      <c r="D37" t="str">
        <v>4</v>
      </c>
      <c r="F37" t="s">
        <v>47</v>
      </c>
    </row>
    <row r="38" spans="1:6" x14ac:dyDescent="0.2">
      <c r="A38" s="2" t="s">
        <v>14</v>
      </c>
      <c r="B38" t="str">
        <f t="shared" si="0"/>
        <v>4</v>
      </c>
      <c r="C38" t="str">
        <f t="shared" si="1"/>
        <v>2</v>
      </c>
      <c r="D38" t="str">
        <v>1</v>
      </c>
      <c r="F38" t="s">
        <v>44</v>
      </c>
    </row>
    <row r="39" spans="1:6" x14ac:dyDescent="0.2">
      <c r="A39" s="2" t="s">
        <v>15</v>
      </c>
      <c r="B39" t="str">
        <f t="shared" si="0"/>
        <v>3</v>
      </c>
      <c r="C39" t="str">
        <f t="shared" si="1"/>
        <v>1</v>
      </c>
      <c r="D39" t="str">
        <v>6</v>
      </c>
      <c r="F39" t="s">
        <v>43</v>
      </c>
    </row>
    <row r="40" spans="1:6" x14ac:dyDescent="0.2">
      <c r="A40" s="2" t="s">
        <v>13</v>
      </c>
      <c r="B40" t="str">
        <f t="shared" si="0"/>
        <v>5</v>
      </c>
      <c r="C40" t="str">
        <f t="shared" si="1"/>
        <v>2</v>
      </c>
      <c r="D40" t="str">
        <v>3</v>
      </c>
      <c r="F40" t="s">
        <v>46</v>
      </c>
    </row>
    <row r="41" spans="1:6" x14ac:dyDescent="0.2">
      <c r="A41" s="2" t="s">
        <v>18</v>
      </c>
      <c r="B41" t="str">
        <f t="shared" si="0"/>
        <v>6</v>
      </c>
      <c r="C41" t="str">
        <f t="shared" si="1"/>
        <v>2</v>
      </c>
      <c r="D41" t="str">
        <v>4</v>
      </c>
      <c r="F41" t="s">
        <v>47</v>
      </c>
    </row>
    <row r="42" spans="1:6" x14ac:dyDescent="0.2">
      <c r="A42" s="2" t="s">
        <v>13</v>
      </c>
      <c r="B42" t="str">
        <f t="shared" si="0"/>
        <v>5</v>
      </c>
      <c r="C42" t="str">
        <f t="shared" si="1"/>
        <v>2</v>
      </c>
      <c r="D42" t="str">
        <v>2</v>
      </c>
      <c r="F42" t="s">
        <v>42</v>
      </c>
    </row>
    <row r="43" spans="1:6" x14ac:dyDescent="0.2">
      <c r="A43" s="2" t="s">
        <v>13</v>
      </c>
      <c r="B43" t="str">
        <f t="shared" si="0"/>
        <v>5</v>
      </c>
      <c r="C43" t="str">
        <f t="shared" si="1"/>
        <v>2</v>
      </c>
      <c r="D43" t="str">
        <v>6</v>
      </c>
      <c r="F43" t="s">
        <v>43</v>
      </c>
    </row>
    <row r="44" spans="1:6" x14ac:dyDescent="0.2">
      <c r="A44" s="2" t="s">
        <v>19</v>
      </c>
      <c r="B44" t="str">
        <f t="shared" si="0"/>
        <v>7</v>
      </c>
      <c r="C44" t="str">
        <f t="shared" si="1"/>
        <v>3</v>
      </c>
      <c r="D44" t="str">
        <v>3</v>
      </c>
      <c r="F44" t="s">
        <v>46</v>
      </c>
    </row>
    <row r="45" spans="1:6" x14ac:dyDescent="0.2">
      <c r="A45" s="2" t="s">
        <v>15</v>
      </c>
      <c r="B45" t="str">
        <f t="shared" si="0"/>
        <v>3</v>
      </c>
      <c r="C45" t="str">
        <f t="shared" si="1"/>
        <v>1</v>
      </c>
      <c r="D45" t="str">
        <v>4</v>
      </c>
      <c r="F45" t="s">
        <v>47</v>
      </c>
    </row>
    <row r="46" spans="1:6" x14ac:dyDescent="0.2">
      <c r="A46" s="2" t="s">
        <v>25</v>
      </c>
      <c r="B46" t="str">
        <f t="shared" si="0"/>
        <v>3</v>
      </c>
      <c r="C46" t="str">
        <f t="shared" si="1"/>
        <v>2</v>
      </c>
      <c r="D46" t="str">
        <v>2</v>
      </c>
      <c r="F46" t="s">
        <v>42</v>
      </c>
    </row>
    <row r="47" spans="1:6" x14ac:dyDescent="0.2">
      <c r="A47" s="2" t="s">
        <v>16</v>
      </c>
      <c r="B47" t="str">
        <f t="shared" si="0"/>
        <v>4</v>
      </c>
      <c r="C47" t="str">
        <f t="shared" si="1"/>
        <v>1</v>
      </c>
      <c r="D47" t="str">
        <v>3</v>
      </c>
      <c r="F47" t="s">
        <v>46</v>
      </c>
    </row>
    <row r="48" spans="1:6" x14ac:dyDescent="0.2">
      <c r="A48" s="2" t="s">
        <v>28</v>
      </c>
      <c r="B48" t="str">
        <f t="shared" si="0"/>
        <v>5</v>
      </c>
      <c r="C48" t="str">
        <f t="shared" si="1"/>
        <v>3</v>
      </c>
      <c r="D48" t="str">
        <v>2</v>
      </c>
      <c r="F48" t="s">
        <v>42</v>
      </c>
    </row>
    <row r="49" spans="1:6" x14ac:dyDescent="0.2">
      <c r="A49" s="2" t="s">
        <v>22</v>
      </c>
      <c r="B49" t="str">
        <f t="shared" si="0"/>
        <v>7</v>
      </c>
      <c r="C49" t="str">
        <f t="shared" si="1"/>
        <v>2</v>
      </c>
      <c r="D49" t="str">
        <v>4</v>
      </c>
      <c r="F49" t="s">
        <v>47</v>
      </c>
    </row>
    <row r="50" spans="1:6" x14ac:dyDescent="0.2">
      <c r="A50" s="2" t="s">
        <v>19</v>
      </c>
      <c r="B50" t="str">
        <f t="shared" si="0"/>
        <v>7</v>
      </c>
      <c r="C50" t="str">
        <f t="shared" si="1"/>
        <v>3</v>
      </c>
      <c r="D50" t="str">
        <v>2</v>
      </c>
      <c r="F50" t="s">
        <v>42</v>
      </c>
    </row>
    <row r="51" spans="1:6" x14ac:dyDescent="0.2">
      <c r="A51" s="2" t="s">
        <v>13</v>
      </c>
      <c r="B51" t="str">
        <f t="shared" si="0"/>
        <v>5</v>
      </c>
      <c r="C51" t="str">
        <f t="shared" si="1"/>
        <v>2</v>
      </c>
      <c r="D51" t="str">
        <v>8</v>
      </c>
      <c r="F51" t="s">
        <v>48</v>
      </c>
    </row>
    <row r="52" spans="1:6" x14ac:dyDescent="0.2">
      <c r="A52" s="2" t="s">
        <v>23</v>
      </c>
      <c r="B52" t="str">
        <f t="shared" si="0"/>
        <v>5</v>
      </c>
      <c r="C52" t="str">
        <f t="shared" si="1"/>
        <v>1</v>
      </c>
      <c r="D52" t="str">
        <v>2</v>
      </c>
      <c r="F52" t="s">
        <v>42</v>
      </c>
    </row>
    <row r="53" spans="1:6" x14ac:dyDescent="0.2">
      <c r="A53" s="2" t="s">
        <v>14</v>
      </c>
      <c r="B53" t="str">
        <f t="shared" si="0"/>
        <v>4</v>
      </c>
      <c r="C53" t="str">
        <f t="shared" si="1"/>
        <v>2</v>
      </c>
      <c r="D53" t="str">
        <v>3</v>
      </c>
      <c r="F53" t="s">
        <v>46</v>
      </c>
    </row>
    <row r="54" spans="1:6" x14ac:dyDescent="0.2">
      <c r="A54" s="2" t="s">
        <v>18</v>
      </c>
      <c r="B54" t="str">
        <f t="shared" si="0"/>
        <v>6</v>
      </c>
      <c r="C54" t="str">
        <f t="shared" si="1"/>
        <v>2</v>
      </c>
      <c r="D54" t="str">
        <v>1</v>
      </c>
      <c r="F54" t="s">
        <v>44</v>
      </c>
    </row>
    <row r="55" spans="1:6" x14ac:dyDescent="0.2">
      <c r="A55" s="2" t="s">
        <v>14</v>
      </c>
      <c r="B55" t="str">
        <f t="shared" si="0"/>
        <v>4</v>
      </c>
      <c r="C55" t="str">
        <f t="shared" si="1"/>
        <v>2</v>
      </c>
      <c r="D55" t="str">
        <v>5</v>
      </c>
      <c r="F55" t="s">
        <v>41</v>
      </c>
    </row>
    <row r="56" spans="1:6" x14ac:dyDescent="0.2">
      <c r="A56" s="2" t="s">
        <v>13</v>
      </c>
      <c r="B56" t="str">
        <f t="shared" si="0"/>
        <v>5</v>
      </c>
      <c r="C56" t="str">
        <f t="shared" si="1"/>
        <v>2</v>
      </c>
      <c r="D56" t="str">
        <v>1</v>
      </c>
      <c r="F56" t="s">
        <v>44</v>
      </c>
    </row>
    <row r="57" spans="1:6" x14ac:dyDescent="0.2">
      <c r="A57" s="2" t="s">
        <v>13</v>
      </c>
      <c r="B57" t="str">
        <f t="shared" si="0"/>
        <v>5</v>
      </c>
      <c r="C57" t="str">
        <f t="shared" si="1"/>
        <v>2</v>
      </c>
      <c r="D57" t="str">
        <v>4</v>
      </c>
      <c r="F57" t="s">
        <v>47</v>
      </c>
    </row>
    <row r="58" spans="1:6" x14ac:dyDescent="0.2">
      <c r="A58" s="2" t="s">
        <v>26</v>
      </c>
      <c r="B58" t="str">
        <f t="shared" si="0"/>
        <v>6</v>
      </c>
      <c r="C58" t="str">
        <f t="shared" si="1"/>
        <v>1</v>
      </c>
      <c r="D58" t="str">
        <v>1</v>
      </c>
      <c r="F58" t="s">
        <v>44</v>
      </c>
    </row>
    <row r="59" spans="1:6" x14ac:dyDescent="0.2">
      <c r="A59" s="2" t="s">
        <v>26</v>
      </c>
      <c r="B59" t="str">
        <f t="shared" si="0"/>
        <v>6</v>
      </c>
      <c r="C59" t="str">
        <f t="shared" si="1"/>
        <v>1</v>
      </c>
      <c r="D59" t="str">
        <v>7</v>
      </c>
      <c r="F59" t="s">
        <v>45</v>
      </c>
    </row>
    <row r="60" spans="1:6" x14ac:dyDescent="0.2">
      <c r="A60" s="2" t="s">
        <v>23</v>
      </c>
      <c r="B60" t="str">
        <f t="shared" si="0"/>
        <v>5</v>
      </c>
      <c r="C60" t="str">
        <f t="shared" si="1"/>
        <v>1</v>
      </c>
      <c r="D60" t="str">
        <v>2</v>
      </c>
      <c r="F60" t="s">
        <v>42</v>
      </c>
    </row>
    <row r="61" spans="1:6" x14ac:dyDescent="0.2">
      <c r="A61" s="2" t="s">
        <v>22</v>
      </c>
      <c r="B61" t="str">
        <f t="shared" si="0"/>
        <v>7</v>
      </c>
      <c r="C61" t="str">
        <f t="shared" si="1"/>
        <v>2</v>
      </c>
      <c r="D61" t="str">
        <v>3</v>
      </c>
      <c r="F61" t="s">
        <v>46</v>
      </c>
    </row>
    <row r="62" spans="1:6" x14ac:dyDescent="0.2">
      <c r="A62" s="2" t="s">
        <v>18</v>
      </c>
      <c r="B62" t="str">
        <f t="shared" si="0"/>
        <v>6</v>
      </c>
      <c r="C62" t="str">
        <f t="shared" si="1"/>
        <v>2</v>
      </c>
      <c r="D62" t="str">
        <v>1</v>
      </c>
      <c r="F62" t="s">
        <v>44</v>
      </c>
    </row>
    <row r="63" spans="1:6" x14ac:dyDescent="0.2">
      <c r="A63" s="2" t="s">
        <v>18</v>
      </c>
      <c r="B63" t="str">
        <f t="shared" si="0"/>
        <v>6</v>
      </c>
      <c r="C63" t="str">
        <f t="shared" si="1"/>
        <v>2</v>
      </c>
      <c r="D63" t="str">
        <v>6</v>
      </c>
      <c r="F63" t="s">
        <v>43</v>
      </c>
    </row>
    <row r="64" spans="1:6" x14ac:dyDescent="0.2">
      <c r="A64" s="2" t="s">
        <v>23</v>
      </c>
      <c r="B64" t="str">
        <f t="shared" si="0"/>
        <v>5</v>
      </c>
      <c r="C64" t="str">
        <f t="shared" si="1"/>
        <v>1</v>
      </c>
      <c r="D64" t="str">
        <v>2</v>
      </c>
      <c r="F64" t="s">
        <v>42</v>
      </c>
    </row>
    <row r="65" spans="1:6" x14ac:dyDescent="0.2">
      <c r="A65" s="2" t="s">
        <v>28</v>
      </c>
      <c r="B65" t="str">
        <f t="shared" si="0"/>
        <v>5</v>
      </c>
      <c r="C65" t="str">
        <f t="shared" si="1"/>
        <v>3</v>
      </c>
      <c r="D65" t="str">
        <v>5</v>
      </c>
      <c r="F65" t="s">
        <v>41</v>
      </c>
    </row>
    <row r="66" spans="1:6" x14ac:dyDescent="0.2">
      <c r="A66" s="2" t="s">
        <v>29</v>
      </c>
      <c r="B66" t="str">
        <f t="shared" ref="B66:B72" si="2">LEFT(A66,1)</f>
        <v>4</v>
      </c>
      <c r="C66" t="str">
        <f t="shared" ref="C66:C72" si="3">RIGHT(A66,1)</f>
        <v>3</v>
      </c>
      <c r="D66" t="str">
        <v>2</v>
      </c>
      <c r="F66" t="s">
        <v>42</v>
      </c>
    </row>
    <row r="67" spans="1:6" x14ac:dyDescent="0.2">
      <c r="A67" s="2" t="s">
        <v>29</v>
      </c>
      <c r="B67" t="str">
        <f t="shared" si="2"/>
        <v>4</v>
      </c>
      <c r="C67" t="str">
        <f t="shared" si="3"/>
        <v>3</v>
      </c>
      <c r="D67" t="str">
        <v>5</v>
      </c>
      <c r="F67" t="s">
        <v>41</v>
      </c>
    </row>
    <row r="68" spans="1:6" x14ac:dyDescent="0.2">
      <c r="A68" s="2" t="s">
        <v>30</v>
      </c>
      <c r="B68" t="str">
        <f t="shared" si="2"/>
        <v>5</v>
      </c>
      <c r="C68" t="str">
        <f t="shared" si="3"/>
        <v>4</v>
      </c>
      <c r="D68" t="str">
        <v>1</v>
      </c>
      <c r="F68" t="s">
        <v>44</v>
      </c>
    </row>
    <row r="69" spans="1:6" x14ac:dyDescent="0.2">
      <c r="A69" s="2" t="s">
        <v>16</v>
      </c>
      <c r="B69" t="str">
        <f t="shared" si="2"/>
        <v>4</v>
      </c>
      <c r="C69" t="str">
        <f t="shared" si="3"/>
        <v>1</v>
      </c>
      <c r="D69" t="str">
        <v>6</v>
      </c>
      <c r="F69" t="s">
        <v>43</v>
      </c>
    </row>
    <row r="70" spans="1:6" x14ac:dyDescent="0.2">
      <c r="A70" s="2" t="s">
        <v>18</v>
      </c>
      <c r="B70" t="str">
        <f t="shared" si="2"/>
        <v>6</v>
      </c>
      <c r="C70" t="str">
        <f t="shared" si="3"/>
        <v>2</v>
      </c>
      <c r="D70" t="str">
        <v>1</v>
      </c>
      <c r="F70" t="s">
        <v>44</v>
      </c>
    </row>
    <row r="71" spans="1:6" x14ac:dyDescent="0.2">
      <c r="A71" s="2" t="s">
        <v>13</v>
      </c>
      <c r="B71" t="str">
        <f t="shared" si="2"/>
        <v>5</v>
      </c>
      <c r="C71" t="str">
        <f t="shared" si="3"/>
        <v>2</v>
      </c>
      <c r="D71" t="str">
        <v>6</v>
      </c>
      <c r="F71" t="s">
        <v>43</v>
      </c>
    </row>
    <row r="72" spans="1:6" x14ac:dyDescent="0.2">
      <c r="A72" s="2" t="s">
        <v>13</v>
      </c>
      <c r="B72" t="str">
        <f t="shared" si="2"/>
        <v>5</v>
      </c>
      <c r="C72" t="str">
        <f t="shared" si="3"/>
        <v>2</v>
      </c>
      <c r="D72" t="str">
        <v>1</v>
      </c>
      <c r="F72" t="s">
        <v>44</v>
      </c>
    </row>
    <row r="73" spans="1:6" x14ac:dyDescent="0.2">
      <c r="D73" t="str">
        <v>4</v>
      </c>
      <c r="F73" t="s">
        <v>47</v>
      </c>
    </row>
    <row r="74" spans="1:6" x14ac:dyDescent="0.2">
      <c r="D74" t="str">
        <v>2</v>
      </c>
      <c r="F74" t="s">
        <v>42</v>
      </c>
    </row>
    <row r="75" spans="1:6" x14ac:dyDescent="0.2">
      <c r="D75" t="str">
        <v>4</v>
      </c>
      <c r="F75" t="s">
        <v>47</v>
      </c>
    </row>
    <row r="76" spans="1:6" x14ac:dyDescent="0.2">
      <c r="D76" t="str">
        <v>2</v>
      </c>
      <c r="F76" t="s">
        <v>42</v>
      </c>
    </row>
    <row r="77" spans="1:6" x14ac:dyDescent="0.2">
      <c r="D77" t="str">
        <v>3</v>
      </c>
      <c r="F77" t="s">
        <v>46</v>
      </c>
    </row>
    <row r="78" spans="1:6" x14ac:dyDescent="0.2">
      <c r="D78" t="str">
        <v>1</v>
      </c>
      <c r="F78" t="s">
        <v>44</v>
      </c>
    </row>
    <row r="79" spans="1:6" x14ac:dyDescent="0.2">
      <c r="D79" t="str">
        <v>5</v>
      </c>
      <c r="F79" t="s">
        <v>41</v>
      </c>
    </row>
    <row r="80" spans="1:6" x14ac:dyDescent="0.2">
      <c r="D80" t="str">
        <v>2</v>
      </c>
      <c r="F80" t="s">
        <v>42</v>
      </c>
    </row>
    <row r="81" spans="4:6" x14ac:dyDescent="0.2">
      <c r="D81" t="str">
        <v>6</v>
      </c>
      <c r="F81" t="s">
        <v>43</v>
      </c>
    </row>
    <row r="82" spans="4:6" x14ac:dyDescent="0.2">
      <c r="D82" t="str">
        <v>2</v>
      </c>
      <c r="F82" t="s">
        <v>42</v>
      </c>
    </row>
    <row r="83" spans="4:6" x14ac:dyDescent="0.2">
      <c r="D83" t="str">
        <v>5</v>
      </c>
      <c r="F83" t="s">
        <v>41</v>
      </c>
    </row>
    <row r="84" spans="4:6" x14ac:dyDescent="0.2">
      <c r="D84" t="str">
        <v>2</v>
      </c>
      <c r="F84" t="s">
        <v>42</v>
      </c>
    </row>
    <row r="85" spans="4:6" x14ac:dyDescent="0.2">
      <c r="D85" t="str">
        <v>5</v>
      </c>
      <c r="F85" t="s">
        <v>41</v>
      </c>
    </row>
    <row r="86" spans="4:6" x14ac:dyDescent="0.2">
      <c r="D86" t="str">
        <v>2</v>
      </c>
      <c r="F86" t="s">
        <v>42</v>
      </c>
    </row>
    <row r="87" spans="4:6" x14ac:dyDescent="0.2">
      <c r="D87" t="str">
        <v>7</v>
      </c>
      <c r="F87" t="s">
        <v>45</v>
      </c>
    </row>
    <row r="88" spans="4:6" x14ac:dyDescent="0.2">
      <c r="D88" t="str">
        <v>3</v>
      </c>
      <c r="F88" t="s">
        <v>46</v>
      </c>
    </row>
    <row r="89" spans="4:6" x14ac:dyDescent="0.2">
      <c r="D89" t="str">
        <v>3</v>
      </c>
      <c r="F89" t="s">
        <v>46</v>
      </c>
    </row>
    <row r="90" spans="4:6" x14ac:dyDescent="0.2">
      <c r="D90" t="str">
        <v>1</v>
      </c>
      <c r="F90" t="s">
        <v>44</v>
      </c>
    </row>
    <row r="91" spans="4:6" x14ac:dyDescent="0.2">
      <c r="D91" t="str">
        <v>3</v>
      </c>
      <c r="F91" t="s">
        <v>46</v>
      </c>
    </row>
    <row r="92" spans="4:6" x14ac:dyDescent="0.2">
      <c r="D92" t="str">
        <v>2</v>
      </c>
      <c r="F92" t="s">
        <v>42</v>
      </c>
    </row>
    <row r="93" spans="4:6" x14ac:dyDescent="0.2">
      <c r="D93" t="str">
        <v>4</v>
      </c>
      <c r="F93" t="s">
        <v>47</v>
      </c>
    </row>
    <row r="94" spans="4:6" x14ac:dyDescent="0.2">
      <c r="D94" t="str">
        <v>1</v>
      </c>
      <c r="F94" t="s">
        <v>44</v>
      </c>
    </row>
    <row r="95" spans="4:6" x14ac:dyDescent="0.2">
      <c r="D95" t="str">
        <v>5</v>
      </c>
      <c r="F95" t="s">
        <v>41</v>
      </c>
    </row>
    <row r="96" spans="4:6" x14ac:dyDescent="0.2">
      <c r="D96" t="str">
        <v>3</v>
      </c>
      <c r="F96" t="s">
        <v>46</v>
      </c>
    </row>
    <row r="97" spans="4:6" x14ac:dyDescent="0.2">
      <c r="D97" t="str">
        <v>7</v>
      </c>
      <c r="F97" t="s">
        <v>45</v>
      </c>
    </row>
    <row r="98" spans="4:6" x14ac:dyDescent="0.2">
      <c r="D98" t="str">
        <v>2</v>
      </c>
      <c r="F98" t="s">
        <v>42</v>
      </c>
    </row>
    <row r="99" spans="4:6" x14ac:dyDescent="0.2">
      <c r="D99" t="str">
        <v>7</v>
      </c>
      <c r="F99" t="s">
        <v>45</v>
      </c>
    </row>
    <row r="100" spans="4:6" x14ac:dyDescent="0.2">
      <c r="D100" t="str">
        <v>3</v>
      </c>
      <c r="F100" t="s">
        <v>46</v>
      </c>
    </row>
    <row r="101" spans="4:6" x14ac:dyDescent="0.2">
      <c r="D101" t="str">
        <v>5</v>
      </c>
      <c r="F101" t="s">
        <v>41</v>
      </c>
    </row>
    <row r="102" spans="4:6" x14ac:dyDescent="0.2">
      <c r="D102" t="str">
        <v>2</v>
      </c>
      <c r="F102" t="s">
        <v>42</v>
      </c>
    </row>
    <row r="103" spans="4:6" x14ac:dyDescent="0.2">
      <c r="D103" t="str">
        <v>5</v>
      </c>
      <c r="F103" t="s">
        <v>41</v>
      </c>
    </row>
    <row r="104" spans="4:6" x14ac:dyDescent="0.2">
      <c r="D104" t="str">
        <v>1</v>
      </c>
      <c r="F104" t="s">
        <v>44</v>
      </c>
    </row>
    <row r="105" spans="4:6" x14ac:dyDescent="0.2">
      <c r="D105" t="str">
        <v>4</v>
      </c>
      <c r="F105" t="s">
        <v>47</v>
      </c>
    </row>
    <row r="106" spans="4:6" x14ac:dyDescent="0.2">
      <c r="D106" t="str">
        <v>2</v>
      </c>
      <c r="F106" t="s">
        <v>42</v>
      </c>
    </row>
    <row r="107" spans="4:6" x14ac:dyDescent="0.2">
      <c r="D107" t="str">
        <v>6</v>
      </c>
      <c r="F107" t="s">
        <v>43</v>
      </c>
    </row>
    <row r="108" spans="4:6" x14ac:dyDescent="0.2">
      <c r="D108" t="str">
        <v>2</v>
      </c>
      <c r="F108" t="s">
        <v>42</v>
      </c>
    </row>
    <row r="109" spans="4:6" x14ac:dyDescent="0.2">
      <c r="D109" t="str">
        <v>4</v>
      </c>
      <c r="F109" t="s">
        <v>47</v>
      </c>
    </row>
    <row r="110" spans="4:6" x14ac:dyDescent="0.2">
      <c r="D110" t="str">
        <v>2</v>
      </c>
      <c r="F110" t="s">
        <v>42</v>
      </c>
    </row>
    <row r="111" spans="4:6" x14ac:dyDescent="0.2">
      <c r="D111" t="str">
        <v>5</v>
      </c>
      <c r="F111" t="s">
        <v>41</v>
      </c>
    </row>
    <row r="112" spans="4:6" x14ac:dyDescent="0.2">
      <c r="D112" t="str">
        <v>2</v>
      </c>
      <c r="F112" t="s">
        <v>42</v>
      </c>
    </row>
    <row r="113" spans="4:6" x14ac:dyDescent="0.2">
      <c r="D113" t="str">
        <v>5</v>
      </c>
      <c r="F113" t="s">
        <v>41</v>
      </c>
    </row>
    <row r="114" spans="4:6" x14ac:dyDescent="0.2">
      <c r="D114" t="str">
        <v>2</v>
      </c>
      <c r="F114" t="s">
        <v>42</v>
      </c>
    </row>
    <row r="115" spans="4:6" x14ac:dyDescent="0.2">
      <c r="D115" t="str">
        <v>6</v>
      </c>
      <c r="F115" t="s">
        <v>43</v>
      </c>
    </row>
    <row r="116" spans="4:6" x14ac:dyDescent="0.2">
      <c r="D116" t="str">
        <v>1</v>
      </c>
      <c r="F116" t="s">
        <v>44</v>
      </c>
    </row>
    <row r="117" spans="4:6" x14ac:dyDescent="0.2">
      <c r="D117" t="str">
        <v>6</v>
      </c>
      <c r="F117" t="s">
        <v>43</v>
      </c>
    </row>
    <row r="118" spans="4:6" x14ac:dyDescent="0.2">
      <c r="D118" t="str">
        <v>1</v>
      </c>
      <c r="F118" t="s">
        <v>44</v>
      </c>
    </row>
    <row r="119" spans="4:6" x14ac:dyDescent="0.2">
      <c r="D119" t="str">
        <v>5</v>
      </c>
      <c r="F119" t="s">
        <v>41</v>
      </c>
    </row>
    <row r="120" spans="4:6" x14ac:dyDescent="0.2">
      <c r="D120" t="str">
        <v>1</v>
      </c>
      <c r="F120" t="s">
        <v>44</v>
      </c>
    </row>
    <row r="121" spans="4:6" x14ac:dyDescent="0.2">
      <c r="D121" t="str">
        <v>7</v>
      </c>
      <c r="F121" t="s">
        <v>45</v>
      </c>
    </row>
    <row r="122" spans="4:6" x14ac:dyDescent="0.2">
      <c r="D122" t="str">
        <v>2</v>
      </c>
      <c r="F122" t="s">
        <v>42</v>
      </c>
    </row>
    <row r="123" spans="4:6" x14ac:dyDescent="0.2">
      <c r="D123" t="str">
        <v>6</v>
      </c>
      <c r="F123" t="s">
        <v>43</v>
      </c>
    </row>
    <row r="124" spans="4:6" x14ac:dyDescent="0.2">
      <c r="D124" t="str">
        <v>2</v>
      </c>
      <c r="F124" t="s">
        <v>42</v>
      </c>
    </row>
    <row r="125" spans="4:6" x14ac:dyDescent="0.2">
      <c r="D125" t="str">
        <v>6</v>
      </c>
      <c r="F125" t="s">
        <v>43</v>
      </c>
    </row>
    <row r="126" spans="4:6" x14ac:dyDescent="0.2">
      <c r="D126" t="str">
        <v>2</v>
      </c>
      <c r="F126" t="s">
        <v>42</v>
      </c>
    </row>
    <row r="127" spans="4:6" x14ac:dyDescent="0.2">
      <c r="D127" t="str">
        <v>5</v>
      </c>
      <c r="F127" t="s">
        <v>41</v>
      </c>
    </row>
    <row r="128" spans="4:6" x14ac:dyDescent="0.2">
      <c r="D128" t="str">
        <v>1</v>
      </c>
      <c r="F128" t="s">
        <v>44</v>
      </c>
    </row>
    <row r="129" spans="4:6" x14ac:dyDescent="0.2">
      <c r="D129" t="str">
        <v>5</v>
      </c>
      <c r="F129" t="s">
        <v>41</v>
      </c>
    </row>
    <row r="130" spans="4:6" x14ac:dyDescent="0.2">
      <c r="D130" t="str">
        <v>3</v>
      </c>
      <c r="F130" t="s">
        <v>46</v>
      </c>
    </row>
    <row r="131" spans="4:6" x14ac:dyDescent="0.2">
      <c r="D131" t="str">
        <v>4</v>
      </c>
      <c r="F131" t="s">
        <v>47</v>
      </c>
    </row>
    <row r="132" spans="4:6" x14ac:dyDescent="0.2">
      <c r="D132" t="str">
        <v>3</v>
      </c>
      <c r="F132" t="s">
        <v>46</v>
      </c>
    </row>
    <row r="133" spans="4:6" x14ac:dyDescent="0.2">
      <c r="D133" t="str">
        <v>4</v>
      </c>
      <c r="F133" t="s">
        <v>47</v>
      </c>
    </row>
    <row r="134" spans="4:6" x14ac:dyDescent="0.2">
      <c r="D134" t="str">
        <v>3</v>
      </c>
      <c r="F134" t="s">
        <v>46</v>
      </c>
    </row>
    <row r="135" spans="4:6" x14ac:dyDescent="0.2">
      <c r="D135" t="str">
        <v>5</v>
      </c>
      <c r="F135" t="s">
        <v>41</v>
      </c>
    </row>
    <row r="136" spans="4:6" x14ac:dyDescent="0.2">
      <c r="D136" t="str">
        <v>4</v>
      </c>
      <c r="F136" t="s">
        <v>47</v>
      </c>
    </row>
    <row r="137" spans="4:6" x14ac:dyDescent="0.2">
      <c r="D137" t="str">
        <v>4</v>
      </c>
      <c r="F137" t="s">
        <v>47</v>
      </c>
    </row>
    <row r="138" spans="4:6" x14ac:dyDescent="0.2">
      <c r="D138" t="str">
        <v>1</v>
      </c>
      <c r="F138" t="s">
        <v>44</v>
      </c>
    </row>
    <row r="139" spans="4:6" x14ac:dyDescent="0.2">
      <c r="D139" t="str">
        <v>6</v>
      </c>
      <c r="F139" t="s">
        <v>43</v>
      </c>
    </row>
    <row r="140" spans="4:6" x14ac:dyDescent="0.2">
      <c r="D140" t="str">
        <v>2</v>
      </c>
      <c r="F140" t="s">
        <v>42</v>
      </c>
    </row>
    <row r="141" spans="4:6" x14ac:dyDescent="0.2">
      <c r="D141" t="str">
        <v>5</v>
      </c>
      <c r="F141" t="s">
        <v>41</v>
      </c>
    </row>
    <row r="142" spans="4:6" x14ac:dyDescent="0.2">
      <c r="D142" t="str">
        <v>2</v>
      </c>
      <c r="F142" t="s">
        <v>42</v>
      </c>
    </row>
    <row r="143" spans="4:6" x14ac:dyDescent="0.2">
      <c r="D143" t="str">
        <v>5</v>
      </c>
      <c r="F143" t="s">
        <v>41</v>
      </c>
    </row>
    <row r="144" spans="4:6" x14ac:dyDescent="0.2">
      <c r="D144" t="str">
        <v>2</v>
      </c>
      <c r="F144" t="s">
        <v>42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tabSelected="1" workbookViewId="0">
      <selection activeCell="D22" sqref="D22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10</v>
      </c>
      <c r="G1" t="s">
        <v>11</v>
      </c>
    </row>
    <row r="2" spans="1:7" x14ac:dyDescent="0.2">
      <c r="A2" t="s">
        <v>12</v>
      </c>
      <c r="B2">
        <f>'White (Front 9)'!L2</f>
        <v>38</v>
      </c>
      <c r="C2">
        <f>'White (Front 9)'!M2</f>
        <v>15</v>
      </c>
      <c r="D2">
        <f>'Blue (Back 9)'!L2</f>
        <v>45</v>
      </c>
      <c r="E2">
        <f>'Blue (Back 9)'!M2</f>
        <v>17</v>
      </c>
      <c r="F2">
        <f t="shared" ref="F2:G5" si="0">B2+D2</f>
        <v>83</v>
      </c>
      <c r="G2">
        <f t="shared" si="0"/>
        <v>32</v>
      </c>
    </row>
    <row r="3" spans="1:7" x14ac:dyDescent="0.2">
      <c r="A3" t="s">
        <v>17</v>
      </c>
      <c r="B3">
        <f>'White (Front 9)'!L3</f>
        <v>56</v>
      </c>
      <c r="C3">
        <f>'White (Front 9)'!M3</f>
        <v>20</v>
      </c>
      <c r="D3">
        <f>'Blue (Back 9)'!L3</f>
        <v>47</v>
      </c>
      <c r="E3">
        <f>'Blue (Back 9)'!M3</f>
        <v>19</v>
      </c>
      <c r="F3">
        <f t="shared" si="0"/>
        <v>103</v>
      </c>
      <c r="G3">
        <f t="shared" si="0"/>
        <v>39</v>
      </c>
    </row>
    <row r="4" spans="1:7" x14ac:dyDescent="0.2">
      <c r="A4" t="s">
        <v>24</v>
      </c>
      <c r="B4">
        <f>'White (Front 9)'!L4</f>
        <v>37</v>
      </c>
      <c r="C4">
        <f>'White (Front 9)'!M4</f>
        <v>11</v>
      </c>
      <c r="D4">
        <f>'Blue (Back 9)'!L4</f>
        <v>42</v>
      </c>
      <c r="E4">
        <f>'Blue (Back 9)'!M4</f>
        <v>16</v>
      </c>
      <c r="F4">
        <f t="shared" si="0"/>
        <v>79</v>
      </c>
      <c r="G4">
        <f t="shared" si="0"/>
        <v>27</v>
      </c>
    </row>
    <row r="5" spans="1:7" x14ac:dyDescent="0.2">
      <c r="A5" t="s">
        <v>27</v>
      </c>
      <c r="B5">
        <f>'White (Front 9)'!L5</f>
        <v>47</v>
      </c>
      <c r="C5">
        <f>'White (Front 9)'!M5</f>
        <v>18</v>
      </c>
      <c r="D5">
        <f>'Blue (Back 9)'!L5</f>
        <v>47</v>
      </c>
      <c r="E5">
        <f>'Blue (Back 9)'!M5</f>
        <v>19</v>
      </c>
      <c r="F5">
        <f t="shared" si="0"/>
        <v>94</v>
      </c>
      <c r="G5">
        <f t="shared" si="0"/>
        <v>37</v>
      </c>
    </row>
    <row r="8" spans="1:7" x14ac:dyDescent="0.2">
      <c r="A8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White (Front 9)</vt:lpstr>
      <vt:lpstr>Blue (Back 9)</vt:lpstr>
      <vt:lpstr>Sheet1</vt:lpstr>
      <vt:lpstr>18 Hole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Genaro Arismendi</cp:lastModifiedBy>
  <dcterms:created xsi:type="dcterms:W3CDTF">2026-02-22T21:11:08Z</dcterms:created>
  <dcterms:modified xsi:type="dcterms:W3CDTF">2026-03-01T08:13:04Z</dcterms:modified>
</cp:coreProperties>
</file>